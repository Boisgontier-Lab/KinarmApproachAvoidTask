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78c20514f36958/KayneWork/BoisgontierTasks/AAT/"/>
    </mc:Choice>
  </mc:AlternateContent>
  <xr:revisionPtr revIDLastSave="10" documentId="11_11468A5F4B5B987C7082F365E1012D16E109E012" xr6:coauthVersionLast="47" xr6:coauthVersionMax="47" xr10:uidLastSave="{893D2041-6199-4DAC-BD7F-314BE4DF6CA0}"/>
  <bookViews>
    <workbookView xWindow="-105" yWindow="0" windowWidth="194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B7" i="1"/>
</calcChain>
</file>

<file path=xl/sharedStrings.xml><?xml version="1.0" encoding="utf-8"?>
<sst xmlns="http://schemas.openxmlformats.org/spreadsheetml/2006/main" count="135" uniqueCount="114">
  <si>
    <t>ID</t>
  </si>
  <si>
    <t>RTActiveApp</t>
  </si>
  <si>
    <t>RTActiveAppSD</t>
  </si>
  <si>
    <t>RTActiveAppMin</t>
  </si>
  <si>
    <t>RTActiveAppMax</t>
  </si>
  <si>
    <t>RTSedenApp</t>
  </si>
  <si>
    <t>RTSedenAppSD</t>
  </si>
  <si>
    <t>RTSedenAppMin</t>
  </si>
  <si>
    <t>RTSedenAppMax</t>
  </si>
  <si>
    <t>RTNeutApp</t>
  </si>
  <si>
    <t>RTNeutAppSD</t>
  </si>
  <si>
    <t>RTNeutAppMin</t>
  </si>
  <si>
    <t>RTNeutAppMax</t>
  </si>
  <si>
    <t>RTActiveAppRelative</t>
  </si>
  <si>
    <t>RTSedenAppRelative</t>
  </si>
  <si>
    <t>RTActiveAvoid</t>
  </si>
  <si>
    <t>RTActiveAvoidSD</t>
  </si>
  <si>
    <t>RTActiveAvoidMin</t>
  </si>
  <si>
    <t>RTActiveAvoidMax</t>
  </si>
  <si>
    <t>RTSedenAvoid</t>
  </si>
  <si>
    <t>RTSedenAvoidSD</t>
  </si>
  <si>
    <t>RTSedenAvoidMin</t>
  </si>
  <si>
    <t>RTSedenAvoidMax</t>
  </si>
  <si>
    <t>RTNeutAvoid</t>
  </si>
  <si>
    <t>RTNeutAvoidSD</t>
  </si>
  <si>
    <t>RTNeutAvoidMin</t>
  </si>
  <si>
    <t>RTNeutAvoidMax</t>
  </si>
  <si>
    <t>RTActiveAvoidRelative</t>
  </si>
  <si>
    <t>RTSedenAvoidRelative</t>
  </si>
  <si>
    <t>speedActiveApp</t>
  </si>
  <si>
    <t>speedActiveAppSD</t>
  </si>
  <si>
    <t>speedActiveAppMin</t>
  </si>
  <si>
    <t>speedActiveAppMax</t>
  </si>
  <si>
    <t>speedSedenApp</t>
  </si>
  <si>
    <t>speedSedenAppSD</t>
  </si>
  <si>
    <t>speedSedenAppMin</t>
  </si>
  <si>
    <t>speedSedenAppMax</t>
  </si>
  <si>
    <t>speedNeutApp</t>
  </si>
  <si>
    <t>speedNeutAppSD</t>
  </si>
  <si>
    <t>speedNeutAppMin</t>
  </si>
  <si>
    <t>speedNeutAppMax</t>
  </si>
  <si>
    <t>speedActiveAppRelative</t>
  </si>
  <si>
    <t>speedSedenAppRelative</t>
  </si>
  <si>
    <t>speedActiveAvoid</t>
  </si>
  <si>
    <t>speedActiveAvoidSD</t>
  </si>
  <si>
    <t>speedActiveAvoidMin</t>
  </si>
  <si>
    <t>speedActiveAvoidMax</t>
  </si>
  <si>
    <t>speedSedenAvoid</t>
  </si>
  <si>
    <t>speedSedenAvoidSD</t>
  </si>
  <si>
    <t>speedSedenAvoidMin</t>
  </si>
  <si>
    <t>speedSedenAvoidMax</t>
  </si>
  <si>
    <t>speedNeutAvoid</t>
  </si>
  <si>
    <t>speedNeutAvoidSD</t>
  </si>
  <si>
    <t>speedNeutAvoidMin</t>
  </si>
  <si>
    <t>speedNeutAvoidMax</t>
  </si>
  <si>
    <t>speedActiveAvoidRelative</t>
  </si>
  <si>
    <t>speedSedenAvoidRelative</t>
  </si>
  <si>
    <t>peaksActiveApp</t>
  </si>
  <si>
    <t>peaksActiveAppSD</t>
  </si>
  <si>
    <t>peaksActiveAppMin</t>
  </si>
  <si>
    <t>peaksActiveAppMax</t>
  </si>
  <si>
    <t>peaksSedenApp</t>
  </si>
  <si>
    <t>peaksSedenAppSD</t>
  </si>
  <si>
    <t>peaksSedenAppMin</t>
  </si>
  <si>
    <t>peaksSedenAppMax</t>
  </si>
  <si>
    <t>peaksNeutApp</t>
  </si>
  <si>
    <t>peaksNeutAppSD</t>
  </si>
  <si>
    <t>peaksNeutAppMin</t>
  </si>
  <si>
    <t>peaksNeutAppMax</t>
  </si>
  <si>
    <t>peaksActiveAppRelative</t>
  </si>
  <si>
    <t>peaksSedenAppRelative</t>
  </si>
  <si>
    <t>peaksActiveAvoid</t>
  </si>
  <si>
    <t>peaksActiveAvoidSD</t>
  </si>
  <si>
    <t>peaksActiveAvoidMin</t>
  </si>
  <si>
    <t>peaksActiveAvoidMax</t>
  </si>
  <si>
    <t>peaksSedenAvoid</t>
  </si>
  <si>
    <t>peaksSedenAvoidSD</t>
  </si>
  <si>
    <t>peaksSedenAvoidMin</t>
  </si>
  <si>
    <t>peaksSedenAvoidMax</t>
  </si>
  <si>
    <t>peaksNeutAvoid</t>
  </si>
  <si>
    <t>peaksNeutAvoidSD</t>
  </si>
  <si>
    <t>peaksNeutAvoidMin</t>
  </si>
  <si>
    <t>peaksNeutAvoidMax</t>
  </si>
  <si>
    <t>peaksActiveAvoidRelative</t>
  </si>
  <si>
    <t>peaksSedenAvoidRelative</t>
  </si>
  <si>
    <t>errRateActiveApp</t>
  </si>
  <si>
    <t>errRateSedenApp</t>
  </si>
  <si>
    <t>errRateCircApp</t>
  </si>
  <si>
    <t>errRateSquareApp</t>
  </si>
  <si>
    <t>errRateActiveAvoid</t>
  </si>
  <si>
    <t>errRateSedenAvoid</t>
  </si>
  <si>
    <t>errRateCircAvoid</t>
  </si>
  <si>
    <t>errRateSquareAvoid</t>
  </si>
  <si>
    <t>totalTrials</t>
  </si>
  <si>
    <t>peaksCircAppSD</t>
  </si>
  <si>
    <t>peaksCircAppMin</t>
  </si>
  <si>
    <t>peaksCircAppMax</t>
  </si>
  <si>
    <t>peaksSquareApp</t>
  </si>
  <si>
    <t>peaksSquareAppSD</t>
  </si>
  <si>
    <t>peaksSquareAppMin</t>
  </si>
  <si>
    <t>peaksSquareAppMax</t>
  </si>
  <si>
    <t>peaksCircAvoid</t>
  </si>
  <si>
    <t>peaksCircAvoidSD</t>
  </si>
  <si>
    <t>peaksCircAvoidMin</t>
  </si>
  <si>
    <t>peaksCircAvoidMax</t>
  </si>
  <si>
    <t>peaksSquareAvoid</t>
  </si>
  <si>
    <t>peaksSquareAvoidSD</t>
  </si>
  <si>
    <t>peaksSquareAvoidMin</t>
  </si>
  <si>
    <t>peaksSquareAvoidMax</t>
  </si>
  <si>
    <t>505255858</t>
  </si>
  <si>
    <t>630556208</t>
  </si>
  <si>
    <t>ab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</si>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</sst>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7"/>
  <sheetViews>
    <sheetView tabSelected="1" topLeftCell="W1" zoomScaleNormal="100" zoomScaleSheetLayoutView="100" workbookViewId="0">
      <selection activeCell="B7" sqref="B7:DZ7"/>
    </sheetView>
  </sheetViews>
  <sheetFormatPr defaultRowHeight="15" x14ac:dyDescent="0.25"/>
  <cols>
    <col min="1" max="1" width="10.140625" customWidth="1"/>
    <col min="2" max="2" width="12.42578125" customWidth="1"/>
    <col min="3" max="3" width="14.7109375" customWidth="1"/>
    <col min="4" max="4" width="15.85546875" customWidth="1"/>
    <col min="5" max="5" width="16.140625" customWidth="1"/>
    <col min="6" max="6" width="12.42578125" customWidth="1"/>
    <col min="7" max="7" width="14.7109375" customWidth="1"/>
    <col min="8" max="8" width="15.85546875" customWidth="1"/>
    <col min="9" max="9" width="16.140625" customWidth="1"/>
    <col min="10" max="10" width="11.7109375" customWidth="1"/>
    <col min="11" max="11" width="13.5703125" customWidth="1"/>
    <col min="12" max="12" width="14.7109375" customWidth="1"/>
    <col min="13" max="13" width="15" customWidth="1"/>
    <col min="14" max="15" width="19.7109375" customWidth="1"/>
    <col min="16" max="16" width="14" customWidth="1"/>
    <col min="17" max="17" width="16.28515625" customWidth="1"/>
    <col min="18" max="18" width="17.42578125" customWidth="1"/>
    <col min="19" max="19" width="17.7109375" customWidth="1"/>
    <col min="20" max="20" width="14" customWidth="1"/>
    <col min="21" max="21" width="16.28515625" customWidth="1"/>
    <col min="22" max="22" width="17.42578125" customWidth="1"/>
    <col min="23" max="23" width="17.7109375" customWidth="1"/>
    <col min="24" max="24" width="12.85546875" customWidth="1"/>
    <col min="25" max="25" width="15.140625" customWidth="1"/>
    <col min="26" max="26" width="16.28515625" customWidth="1"/>
    <col min="27" max="27" width="16.5703125" customWidth="1"/>
    <col min="28" max="29" width="21.28515625" customWidth="1"/>
    <col min="30" max="30" width="15.7109375" customWidth="1"/>
    <col min="31" max="31" width="18" customWidth="1"/>
    <col min="32" max="32" width="19.140625" customWidth="1"/>
    <col min="33" max="33" width="19.42578125" customWidth="1"/>
    <col min="34" max="34" width="15.7109375" customWidth="1"/>
    <col min="35" max="35" width="18" customWidth="1"/>
    <col min="36" max="36" width="19.140625" customWidth="1"/>
    <col min="37" max="37" width="19.42578125" customWidth="1"/>
    <col min="38" max="38" width="14.5703125" customWidth="1"/>
    <col min="39" max="39" width="16.85546875" customWidth="1"/>
    <col min="40" max="40" width="18" customWidth="1"/>
    <col min="41" max="41" width="18.28515625" customWidth="1"/>
    <col min="42" max="43" width="23" customWidth="1"/>
    <col min="44" max="44" width="17.28515625" customWidth="1"/>
    <col min="45" max="45" width="19.5703125" customWidth="1"/>
    <col min="46" max="46" width="20.7109375" customWidth="1"/>
    <col min="47" max="47" width="21" customWidth="1"/>
    <col min="48" max="48" width="17.28515625" customWidth="1"/>
    <col min="49" max="49" width="19.5703125" customWidth="1"/>
    <col min="50" max="50" width="20.7109375" customWidth="1"/>
    <col min="51" max="51" width="21" customWidth="1"/>
    <col min="52" max="52" width="16.140625" customWidth="1"/>
    <col min="53" max="53" width="18.42578125" customWidth="1"/>
    <col min="54" max="54" width="19.5703125" customWidth="1"/>
    <col min="55" max="55" width="19.85546875" customWidth="1"/>
    <col min="56" max="57" width="24.5703125" customWidth="1"/>
    <col min="58" max="58" width="15.42578125" customWidth="1"/>
    <col min="59" max="59" width="17.7109375" customWidth="1"/>
    <col min="60" max="60" width="18.85546875" customWidth="1"/>
    <col min="61" max="61" width="19.140625" customWidth="1"/>
    <col min="62" max="62" width="15.42578125" customWidth="1"/>
    <col min="63" max="63" width="17.7109375" customWidth="1"/>
    <col min="64" max="64" width="18.85546875" customWidth="1"/>
    <col min="65" max="65" width="19.140625" customWidth="1"/>
    <col min="66" max="66" width="14.28515625" customWidth="1"/>
    <col min="67" max="67" width="16.5703125" customWidth="1"/>
    <col min="68" max="68" width="17.7109375" customWidth="1"/>
    <col min="69" max="69" width="18" customWidth="1"/>
    <col min="70" max="71" width="22.7109375" customWidth="1"/>
    <col min="72" max="72" width="17" customWidth="1"/>
    <col min="73" max="73" width="19.28515625" customWidth="1"/>
    <col min="74" max="74" width="20.42578125" customWidth="1"/>
    <col min="75" max="75" width="20.7109375" customWidth="1"/>
    <col min="76" max="76" width="17" customWidth="1"/>
    <col min="77" max="77" width="19.28515625" customWidth="1"/>
    <col min="78" max="78" width="20.42578125" customWidth="1"/>
    <col min="79" max="79" width="20.7109375" customWidth="1"/>
    <col min="80" max="80" width="15.85546875" customWidth="1"/>
    <col min="81" max="81" width="18.140625" customWidth="1"/>
    <col min="82" max="82" width="19.28515625" customWidth="1"/>
    <col min="83" max="83" width="19.5703125" customWidth="1"/>
    <col min="84" max="85" width="24.28515625" customWidth="1"/>
    <col min="86" max="87" width="16.85546875" customWidth="1"/>
    <col min="88" max="88" width="14.5703125" customWidth="1"/>
    <col min="89" max="89" width="17.42578125" customWidth="1"/>
    <col min="90" max="91" width="18.42578125" customWidth="1"/>
    <col min="92" max="92" width="16.140625" customWidth="1"/>
    <col min="93" max="93" width="19" customWidth="1"/>
    <col min="94" max="94" width="10" customWidth="1"/>
    <col min="95" max="95" width="15.42578125" customWidth="1"/>
    <col min="96" max="96" width="16.5703125" customWidth="1"/>
    <col min="97" max="97" width="16.85546875" customWidth="1"/>
    <col min="98" max="98" width="16" customWidth="1"/>
    <col min="99" max="99" width="18.28515625" customWidth="1"/>
    <col min="100" max="100" width="19.42578125" customWidth="1"/>
    <col min="101" max="101" width="19.7109375" customWidth="1"/>
    <col min="102" max="102" width="17" customWidth="1"/>
    <col min="103" max="103" width="19.28515625" customWidth="1"/>
    <col min="104" max="104" width="20.42578125" customWidth="1"/>
    <col min="105" max="105" width="20.7109375" customWidth="1"/>
    <col min="106" max="106" width="17" customWidth="1"/>
    <col min="107" max="107" width="19.28515625" customWidth="1"/>
    <col min="108" max="108" width="20.42578125" customWidth="1"/>
    <col min="109" max="109" width="20.7109375" customWidth="1"/>
    <col min="110" max="110" width="15.85546875" customWidth="1"/>
    <col min="111" max="111" width="18.140625" customWidth="1"/>
    <col min="112" max="112" width="19.28515625" customWidth="1"/>
    <col min="113" max="113" width="19.5703125" customWidth="1"/>
    <col min="114" max="114" width="14.7109375" customWidth="1"/>
    <col min="115" max="115" width="17" customWidth="1"/>
    <col min="116" max="116" width="18.140625" customWidth="1"/>
    <col min="117" max="117" width="18.42578125" customWidth="1"/>
    <col min="118" max="118" width="17.5703125" customWidth="1"/>
    <col min="119" max="119" width="19.85546875" customWidth="1"/>
    <col min="120" max="120" width="21" customWidth="1"/>
    <col min="121" max="121" width="21.28515625" customWidth="1"/>
    <col min="122" max="123" width="16.85546875" customWidth="1"/>
    <col min="124" max="124" width="14.5703125" customWidth="1"/>
    <col min="125" max="125" width="17.42578125" customWidth="1"/>
    <col min="126" max="127" width="18.42578125" customWidth="1"/>
    <col min="128" max="128" width="16.140625" customWidth="1"/>
    <col min="129" max="129" width="19" customWidth="1"/>
    <col min="130" max="130" width="10" customWidth="1"/>
  </cols>
  <sheetData>
    <row r="1" spans="1:1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71</v>
      </c>
      <c r="CY1" s="1" t="s">
        <v>72</v>
      </c>
      <c r="CZ1" s="1" t="s">
        <v>73</v>
      </c>
      <c r="DA1" s="1" t="s">
        <v>74</v>
      </c>
      <c r="DB1" s="1" t="s">
        <v>75</v>
      </c>
      <c r="DC1" s="1" t="s">
        <v>76</v>
      </c>
      <c r="DD1" s="1" t="s">
        <v>77</v>
      </c>
      <c r="DE1" s="1" t="s">
        <v>78</v>
      </c>
      <c r="DF1" s="1" t="s">
        <v>79</v>
      </c>
      <c r="DG1" s="1" t="s">
        <v>80</v>
      </c>
      <c r="DH1" s="1" t="s">
        <v>81</v>
      </c>
      <c r="DI1" s="1" t="s">
        <v>82</v>
      </c>
      <c r="DJ1" s="1" t="s">
        <v>101</v>
      </c>
      <c r="DK1" s="1" t="s">
        <v>102</v>
      </c>
      <c r="DL1" s="1" t="s">
        <v>103</v>
      </c>
      <c r="DM1" s="1" t="s">
        <v>104</v>
      </c>
      <c r="DN1" s="1" t="s">
        <v>105</v>
      </c>
      <c r="DO1" s="1" t="s">
        <v>106</v>
      </c>
      <c r="DP1" s="1" t="s">
        <v>107</v>
      </c>
      <c r="DQ1" s="1" t="s">
        <v>108</v>
      </c>
      <c r="DR1" s="1" t="s">
        <v>85</v>
      </c>
      <c r="DS1" s="1" t="s">
        <v>86</v>
      </c>
      <c r="DT1" s="1" t="s">
        <v>87</v>
      </c>
      <c r="DU1" s="1" t="s">
        <v>88</v>
      </c>
      <c r="DV1" s="1" t="s">
        <v>89</v>
      </c>
      <c r="DW1" s="1" t="s">
        <v>90</v>
      </c>
      <c r="DX1" s="1" t="s">
        <v>91</v>
      </c>
      <c r="DY1" s="1" t="s">
        <v>92</v>
      </c>
      <c r="DZ1" s="1" t="s">
        <v>93</v>
      </c>
    </row>
    <row r="2" spans="1:130" x14ac:dyDescent="0.25">
      <c r="A2" s="1" t="s">
        <v>109</v>
      </c>
      <c r="B2">
        <v>710</v>
      </c>
      <c r="C2">
        <v>117.66644085867399</v>
      </c>
      <c r="D2">
        <v>546</v>
      </c>
      <c r="E2">
        <v>1073</v>
      </c>
      <c r="F2">
        <v>810.60869565217388</v>
      </c>
      <c r="G2">
        <v>164.62650265219776</v>
      </c>
      <c r="H2">
        <v>564</v>
      </c>
      <c r="I2">
        <v>1339</v>
      </c>
      <c r="J2">
        <v>624.62222222222226</v>
      </c>
      <c r="K2">
        <v>144.66250517684398</v>
      </c>
      <c r="L2">
        <v>444</v>
      </c>
      <c r="M2">
        <v>1065</v>
      </c>
      <c r="N2">
        <v>85.377777777777737</v>
      </c>
      <c r="O2">
        <v>185.98647342995162</v>
      </c>
      <c r="P2">
        <v>751.08333333333337</v>
      </c>
      <c r="Q2">
        <v>171.53651320438703</v>
      </c>
      <c r="R2">
        <v>568</v>
      </c>
      <c r="S2">
        <v>1224</v>
      </c>
      <c r="T2">
        <v>1031.9565217391305</v>
      </c>
      <c r="U2">
        <v>389.00753419449228</v>
      </c>
      <c r="V2">
        <v>634</v>
      </c>
      <c r="W2">
        <v>1895</v>
      </c>
      <c r="X2">
        <v>651.17391304347825</v>
      </c>
      <c r="Y2">
        <v>128.60089931391548</v>
      </c>
      <c r="Z2">
        <v>473</v>
      </c>
      <c r="AA2">
        <v>1074</v>
      </c>
      <c r="AB2">
        <v>99.90942028985512</v>
      </c>
      <c r="AC2">
        <v>380.78260869565224</v>
      </c>
      <c r="AD2">
        <v>53.25</v>
      </c>
      <c r="AE2">
        <v>6.6675724022413458</v>
      </c>
      <c r="AF2">
        <v>43</v>
      </c>
      <c r="AG2">
        <v>64</v>
      </c>
      <c r="AH2">
        <v>56.875</v>
      </c>
      <c r="AI2">
        <v>7.825890698022258</v>
      </c>
      <c r="AJ2">
        <v>41</v>
      </c>
      <c r="AK2">
        <v>74</v>
      </c>
      <c r="AL2">
        <v>53.217391304347828</v>
      </c>
      <c r="AM2">
        <v>10.786644094492784</v>
      </c>
      <c r="AN2">
        <v>30</v>
      </c>
      <c r="AO2">
        <v>76</v>
      </c>
      <c r="AP2">
        <v>3.2608695652172059E-2</v>
      </c>
      <c r="AQ2">
        <v>3.6576086956521721</v>
      </c>
      <c r="AR2">
        <v>56.458333333333336</v>
      </c>
      <c r="AS2">
        <v>8.7921860894708121</v>
      </c>
      <c r="AT2">
        <v>38</v>
      </c>
      <c r="AU2">
        <v>72</v>
      </c>
      <c r="AV2">
        <v>54.833333333333336</v>
      </c>
      <c r="AW2">
        <v>6.831300510639732</v>
      </c>
      <c r="AX2">
        <v>37</v>
      </c>
      <c r="AY2">
        <v>69</v>
      </c>
      <c r="AZ2">
        <v>52.282608695652172</v>
      </c>
      <c r="BA2">
        <v>9.7540032658465368</v>
      </c>
      <c r="BB2">
        <v>37</v>
      </c>
      <c r="BC2">
        <v>71</v>
      </c>
      <c r="BD2">
        <v>4.1757246376811636</v>
      </c>
      <c r="BE2">
        <v>2.5507246376811636</v>
      </c>
      <c r="BF2">
        <v>1</v>
      </c>
      <c r="BG2">
        <v>0</v>
      </c>
      <c r="BH2">
        <v>1</v>
      </c>
      <c r="BI2">
        <v>1</v>
      </c>
      <c r="BJ2">
        <v>1.4166666666666667</v>
      </c>
      <c r="BK2">
        <v>0.71728150235677235</v>
      </c>
      <c r="BL2">
        <v>1</v>
      </c>
      <c r="BM2">
        <v>4</v>
      </c>
      <c r="BN2">
        <v>1.3043478260869565</v>
      </c>
      <c r="BO2">
        <v>0.46521513386061181</v>
      </c>
      <c r="BP2">
        <v>1</v>
      </c>
      <c r="BQ2">
        <v>2</v>
      </c>
      <c r="BR2">
        <v>-0.30434782608695654</v>
      </c>
      <c r="BS2">
        <v>0.1123188405797102</v>
      </c>
      <c r="BT2">
        <v>1.0833333333333333</v>
      </c>
      <c r="BU2">
        <v>0.28232985128663995</v>
      </c>
      <c r="BV2">
        <v>1</v>
      </c>
      <c r="BW2">
        <v>2</v>
      </c>
      <c r="BX2">
        <v>1.5416666666666667</v>
      </c>
      <c r="BY2">
        <v>0.88362724123313174</v>
      </c>
      <c r="BZ2">
        <v>1</v>
      </c>
      <c r="CA2">
        <v>5</v>
      </c>
      <c r="CB2">
        <v>1.173913043478261</v>
      </c>
      <c r="CC2">
        <v>0.43738352486814946</v>
      </c>
      <c r="CD2">
        <v>1</v>
      </c>
      <c r="CE2">
        <v>3</v>
      </c>
      <c r="CF2">
        <v>-9.0579710144927716E-2</v>
      </c>
      <c r="CG2">
        <v>0.36775362318840576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188</v>
      </c>
      <c r="CQ2">
        <v>0.44897775854487953</v>
      </c>
      <c r="CR2">
        <v>1</v>
      </c>
      <c r="CS2">
        <v>2</v>
      </c>
      <c r="CT2">
        <v>1.3478260869565217</v>
      </c>
      <c r="CU2">
        <v>0.48698475355767396</v>
      </c>
      <c r="CV2">
        <v>1</v>
      </c>
      <c r="CW2">
        <v>2</v>
      </c>
      <c r="CX2">
        <v>1.0833333333333333</v>
      </c>
      <c r="CY2">
        <v>0.28232985128663995</v>
      </c>
      <c r="CZ2">
        <v>1</v>
      </c>
      <c r="DA2">
        <v>2</v>
      </c>
      <c r="DB2">
        <v>1.5416666666666667</v>
      </c>
      <c r="DC2">
        <v>0.88362724123313174</v>
      </c>
      <c r="DD2">
        <v>1</v>
      </c>
      <c r="DE2">
        <v>5</v>
      </c>
      <c r="DF2">
        <v>1.173913043478261</v>
      </c>
      <c r="DG2">
        <v>0.43738352486814946</v>
      </c>
      <c r="DH2">
        <v>1</v>
      </c>
      <c r="DI2">
        <v>3</v>
      </c>
      <c r="DJ2">
        <v>1.2173913043478262</v>
      </c>
      <c r="DK2">
        <v>0.5184348595120819</v>
      </c>
      <c r="DL2">
        <v>1</v>
      </c>
      <c r="DM2">
        <v>3</v>
      </c>
      <c r="DN2">
        <v>1.1304347826086956</v>
      </c>
      <c r="DO2">
        <v>0.34435022157509088</v>
      </c>
      <c r="DP2">
        <v>1</v>
      </c>
      <c r="DQ2">
        <v>2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0</v>
      </c>
      <c r="DY2">
        <v>0</v>
      </c>
      <c r="DZ2">
        <v>188</v>
      </c>
    </row>
    <row r="3" spans="1:130" x14ac:dyDescent="0.25">
      <c r="A3" s="1" t="s">
        <v>110</v>
      </c>
      <c r="B3">
        <v>740.91304347826087</v>
      </c>
      <c r="C3">
        <v>274.29743528504338</v>
      </c>
      <c r="D3">
        <v>569</v>
      </c>
      <c r="E3">
        <v>1872</v>
      </c>
      <c r="F3">
        <v>718.21739130434787</v>
      </c>
      <c r="G3">
        <v>156.77283986761898</v>
      </c>
      <c r="H3">
        <v>553</v>
      </c>
      <c r="I3">
        <v>1236</v>
      </c>
      <c r="J3">
        <v>586.83720930232562</v>
      </c>
      <c r="K3">
        <v>275.59744022521915</v>
      </c>
      <c r="L3">
        <v>341</v>
      </c>
      <c r="M3">
        <v>1703</v>
      </c>
      <c r="N3">
        <v>154.07583417593526</v>
      </c>
      <c r="O3">
        <v>131.38018200202225</v>
      </c>
      <c r="P3">
        <v>713</v>
      </c>
      <c r="Q3">
        <v>116.78892145196411</v>
      </c>
      <c r="R3">
        <v>561</v>
      </c>
      <c r="S3">
        <v>1041</v>
      </c>
      <c r="T3">
        <v>818.72727272727275</v>
      </c>
      <c r="U3">
        <v>192.74487994390083</v>
      </c>
      <c r="V3">
        <v>502</v>
      </c>
      <c r="W3">
        <v>1255</v>
      </c>
      <c r="X3">
        <v>609.5</v>
      </c>
      <c r="Y3">
        <v>182.46762269874986</v>
      </c>
      <c r="Z3">
        <v>397</v>
      </c>
      <c r="AA3">
        <v>1218</v>
      </c>
      <c r="AB3">
        <v>103.5</v>
      </c>
      <c r="AC3">
        <v>209.22727272727275</v>
      </c>
      <c r="AD3">
        <v>52.791666666666664</v>
      </c>
      <c r="AE3">
        <v>12.204700329992848</v>
      </c>
      <c r="AF3">
        <v>21</v>
      </c>
      <c r="AG3">
        <v>87</v>
      </c>
      <c r="AH3">
        <v>51.916666666666664</v>
      </c>
      <c r="AI3">
        <v>8.7720736067544962</v>
      </c>
      <c r="AJ3">
        <v>25</v>
      </c>
      <c r="AK3">
        <v>67</v>
      </c>
      <c r="AL3">
        <v>42.909090909090907</v>
      </c>
      <c r="AM3">
        <v>9.9669644601394491</v>
      </c>
      <c r="AN3">
        <v>17</v>
      </c>
      <c r="AO3">
        <v>63</v>
      </c>
      <c r="AP3">
        <v>9.8825757575757578</v>
      </c>
      <c r="AQ3">
        <v>9.0075757575757578</v>
      </c>
      <c r="AR3">
        <v>57.958333333333336</v>
      </c>
      <c r="AS3">
        <v>10.097262507478328</v>
      </c>
      <c r="AT3">
        <v>41</v>
      </c>
      <c r="AU3">
        <v>78</v>
      </c>
      <c r="AV3">
        <v>58.863636363636367</v>
      </c>
      <c r="AW3">
        <v>9.3467358934267448</v>
      </c>
      <c r="AX3">
        <v>42</v>
      </c>
      <c r="AY3">
        <v>77</v>
      </c>
      <c r="AZ3">
        <v>46.282608695652172</v>
      </c>
      <c r="BA3">
        <v>9.010273256377376</v>
      </c>
      <c r="BB3">
        <v>20</v>
      </c>
      <c r="BC3">
        <v>70</v>
      </c>
      <c r="BD3">
        <v>11.675724637681164</v>
      </c>
      <c r="BE3">
        <v>12.581027667984195</v>
      </c>
      <c r="BF3">
        <v>1.2083333333333333</v>
      </c>
      <c r="BG3">
        <v>0.65800533014007911</v>
      </c>
      <c r="BH3">
        <v>1</v>
      </c>
      <c r="BI3">
        <v>4</v>
      </c>
      <c r="BJ3">
        <v>1.125</v>
      </c>
      <c r="BK3">
        <v>0.33783196234608809</v>
      </c>
      <c r="BL3">
        <v>1</v>
      </c>
      <c r="BM3">
        <v>2</v>
      </c>
      <c r="BN3">
        <v>1.2045454545454546</v>
      </c>
      <c r="BO3">
        <v>0.408032457358392</v>
      </c>
      <c r="BP3">
        <v>1</v>
      </c>
      <c r="BQ3">
        <v>2</v>
      </c>
      <c r="BR3">
        <v>3.7878787878786735E-3</v>
      </c>
      <c r="BS3">
        <v>-7.9545454545454586E-2</v>
      </c>
      <c r="BT3">
        <v>1.0416666666666667</v>
      </c>
      <c r="BU3">
        <v>0.20412414523193159</v>
      </c>
      <c r="BV3">
        <v>1</v>
      </c>
      <c r="BW3">
        <v>2</v>
      </c>
      <c r="BX3">
        <v>1.1363636363636365</v>
      </c>
      <c r="BY3">
        <v>0.35125008665710439</v>
      </c>
      <c r="BZ3">
        <v>1</v>
      </c>
      <c r="CA3">
        <v>2</v>
      </c>
      <c r="CB3">
        <v>1.1521739130434783</v>
      </c>
      <c r="CC3">
        <v>0.514992612863862</v>
      </c>
      <c r="CD3">
        <v>1</v>
      </c>
      <c r="CE3">
        <v>3</v>
      </c>
      <c r="CF3">
        <v>-0.11050724637681153</v>
      </c>
      <c r="CG3">
        <v>-1.5810276679841806E-2</v>
      </c>
      <c r="CH3">
        <v>1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186</v>
      </c>
      <c r="CQ3">
        <v>0.46291004988627577</v>
      </c>
      <c r="CR3">
        <v>1</v>
      </c>
      <c r="CS3">
        <v>2</v>
      </c>
      <c r="CT3">
        <v>1.1304347826086956</v>
      </c>
      <c r="CU3">
        <v>0.34435022157509088</v>
      </c>
      <c r="CV3">
        <v>1</v>
      </c>
      <c r="CW3">
        <v>2</v>
      </c>
      <c r="CX3">
        <v>1.0416666666666667</v>
      </c>
      <c r="CY3">
        <v>0.20412414523193159</v>
      </c>
      <c r="CZ3">
        <v>1</v>
      </c>
      <c r="DA3">
        <v>2</v>
      </c>
      <c r="DB3">
        <v>1.1363636363636365</v>
      </c>
      <c r="DC3">
        <v>0.35125008665710439</v>
      </c>
      <c r="DD3">
        <v>1</v>
      </c>
      <c r="DE3">
        <v>2</v>
      </c>
      <c r="DF3">
        <v>1.1521739130434783</v>
      </c>
      <c r="DG3">
        <v>0.514992612863862</v>
      </c>
      <c r="DH3">
        <v>1</v>
      </c>
      <c r="DI3">
        <v>3</v>
      </c>
      <c r="DJ3">
        <v>1.1363636363636365</v>
      </c>
      <c r="DK3">
        <v>0.46756252909607554</v>
      </c>
      <c r="DL3">
        <v>1</v>
      </c>
      <c r="DM3">
        <v>3</v>
      </c>
      <c r="DN3">
        <v>1.1666666666666667</v>
      </c>
      <c r="DO3">
        <v>0.56465970257327991</v>
      </c>
      <c r="DP3">
        <v>1</v>
      </c>
      <c r="DQ3">
        <v>3</v>
      </c>
      <c r="DR3">
        <v>1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186</v>
      </c>
    </row>
    <row r="4" spans="1:130" x14ac:dyDescent="0.25">
      <c r="A4" s="1" t="s">
        <v>111</v>
      </c>
      <c r="B4">
        <v>557.6521739130435</v>
      </c>
      <c r="C4">
        <v>83.614161858151206</v>
      </c>
      <c r="D4">
        <v>424</v>
      </c>
      <c r="E4">
        <v>737</v>
      </c>
      <c r="F4">
        <v>561.45833333333337</v>
      </c>
      <c r="G4">
        <v>119.93620737950533</v>
      </c>
      <c r="H4">
        <v>436</v>
      </c>
      <c r="I4">
        <v>1053</v>
      </c>
      <c r="J4">
        <v>470.87234042553189</v>
      </c>
      <c r="K4">
        <v>57.056652632455773</v>
      </c>
      <c r="L4">
        <v>382</v>
      </c>
      <c r="M4">
        <v>629</v>
      </c>
      <c r="N4">
        <v>86.77983348751161</v>
      </c>
      <c r="O4">
        <v>90.585992907801483</v>
      </c>
      <c r="P4">
        <v>590.47826086956525</v>
      </c>
      <c r="Q4">
        <v>134.73471225985912</v>
      </c>
      <c r="R4">
        <v>433</v>
      </c>
      <c r="S4">
        <v>1134</v>
      </c>
      <c r="T4">
        <v>523.47826086956525</v>
      </c>
      <c r="U4">
        <v>80.294837128953802</v>
      </c>
      <c r="V4">
        <v>448</v>
      </c>
      <c r="W4">
        <v>801</v>
      </c>
      <c r="X4">
        <v>492.31914893617022</v>
      </c>
      <c r="Y4">
        <v>55.787292609081234</v>
      </c>
      <c r="Z4">
        <v>412</v>
      </c>
      <c r="AA4">
        <v>700</v>
      </c>
      <c r="AB4">
        <v>98.159111933395025</v>
      </c>
      <c r="AC4">
        <v>31.159111933395025</v>
      </c>
      <c r="AD4">
        <v>53.666666666666664</v>
      </c>
      <c r="AE4">
        <v>6.4110412005665909</v>
      </c>
      <c r="AF4">
        <v>40</v>
      </c>
      <c r="AG4">
        <v>72</v>
      </c>
      <c r="AH4">
        <v>51.791666666666664</v>
      </c>
      <c r="AI4">
        <v>8.0324297405101461</v>
      </c>
      <c r="AJ4">
        <v>37</v>
      </c>
      <c r="AK4">
        <v>74</v>
      </c>
      <c r="AL4">
        <v>54.166666666666664</v>
      </c>
      <c r="AM4">
        <v>6.1999771218978488</v>
      </c>
      <c r="AN4">
        <v>42</v>
      </c>
      <c r="AO4">
        <v>76</v>
      </c>
      <c r="AP4">
        <v>-0.5</v>
      </c>
      <c r="AQ4">
        <v>-2.375</v>
      </c>
      <c r="AR4">
        <v>51.625</v>
      </c>
      <c r="AS4">
        <v>6.3575528515986059</v>
      </c>
      <c r="AT4">
        <v>43</v>
      </c>
      <c r="AU4">
        <v>74</v>
      </c>
      <c r="AV4">
        <v>53.958333333333336</v>
      </c>
      <c r="AW4">
        <v>5.9012096524626925</v>
      </c>
      <c r="AX4">
        <v>43</v>
      </c>
      <c r="AY4">
        <v>71</v>
      </c>
      <c r="AZ4">
        <v>53.125</v>
      </c>
      <c r="BA4">
        <v>4.879941576211138</v>
      </c>
      <c r="BB4">
        <v>40</v>
      </c>
      <c r="BC4">
        <v>65</v>
      </c>
      <c r="BD4">
        <v>-1.5</v>
      </c>
      <c r="BE4">
        <v>0.8333333333333357</v>
      </c>
      <c r="BF4">
        <v>1.0416666666666667</v>
      </c>
      <c r="BG4">
        <v>0.20412414523193156</v>
      </c>
      <c r="BH4">
        <v>1</v>
      </c>
      <c r="BI4">
        <v>2</v>
      </c>
      <c r="BJ4">
        <v>1.125</v>
      </c>
      <c r="BK4">
        <v>0.44842720314644063</v>
      </c>
      <c r="BL4">
        <v>1</v>
      </c>
      <c r="BM4">
        <v>3</v>
      </c>
      <c r="BN4">
        <v>1</v>
      </c>
      <c r="BO4">
        <v>0</v>
      </c>
      <c r="BP4">
        <v>1</v>
      </c>
      <c r="BQ4">
        <v>1</v>
      </c>
      <c r="BR4">
        <v>4.1666666666666741E-2</v>
      </c>
      <c r="BS4">
        <v>0.125</v>
      </c>
      <c r="BT4">
        <v>1.0833333333333333</v>
      </c>
      <c r="BU4">
        <v>0.28232985128663995</v>
      </c>
      <c r="BV4">
        <v>1</v>
      </c>
      <c r="BW4">
        <v>2</v>
      </c>
      <c r="BX4">
        <v>1.0833333333333333</v>
      </c>
      <c r="BY4">
        <v>0.28232985128663995</v>
      </c>
      <c r="BZ4">
        <v>1</v>
      </c>
      <c r="CA4">
        <v>2</v>
      </c>
      <c r="CB4">
        <v>1.0208333333333333</v>
      </c>
      <c r="CC4">
        <v>0.14433756729740649</v>
      </c>
      <c r="CD4">
        <v>1</v>
      </c>
      <c r="CE4">
        <v>2</v>
      </c>
      <c r="CF4">
        <v>6.25E-2</v>
      </c>
      <c r="CG4">
        <v>6.25E-2</v>
      </c>
      <c r="CH4">
        <v>1</v>
      </c>
      <c r="CI4">
        <v>0</v>
      </c>
      <c r="CJ4">
        <v>1</v>
      </c>
      <c r="CK4">
        <v>0</v>
      </c>
      <c r="CL4">
        <v>0</v>
      </c>
      <c r="CM4">
        <v>1</v>
      </c>
      <c r="CN4">
        <v>0</v>
      </c>
      <c r="CO4">
        <v>1</v>
      </c>
      <c r="CP4">
        <v>187</v>
      </c>
      <c r="CQ4">
        <v>0</v>
      </c>
      <c r="CR4">
        <v>1</v>
      </c>
      <c r="CS4">
        <v>1</v>
      </c>
      <c r="CT4">
        <v>1</v>
      </c>
      <c r="CU4">
        <v>0</v>
      </c>
      <c r="CV4">
        <v>1</v>
      </c>
      <c r="CW4">
        <v>1</v>
      </c>
      <c r="CX4">
        <v>1.0833333333333333</v>
      </c>
      <c r="CY4">
        <v>0.28232985128663995</v>
      </c>
      <c r="CZ4">
        <v>1</v>
      </c>
      <c r="DA4">
        <v>2</v>
      </c>
      <c r="DB4">
        <v>1.0833333333333333</v>
      </c>
      <c r="DC4">
        <v>0.28232985128663995</v>
      </c>
      <c r="DD4">
        <v>1</v>
      </c>
      <c r="DE4">
        <v>2</v>
      </c>
      <c r="DF4">
        <v>1.0208333333333333</v>
      </c>
      <c r="DG4">
        <v>0.14433756729740649</v>
      </c>
      <c r="DH4">
        <v>1</v>
      </c>
      <c r="DI4">
        <v>2</v>
      </c>
      <c r="DJ4">
        <v>1</v>
      </c>
      <c r="DK4">
        <v>0</v>
      </c>
      <c r="DL4">
        <v>1</v>
      </c>
      <c r="DM4">
        <v>1</v>
      </c>
      <c r="DN4">
        <v>1.0416666666666667</v>
      </c>
      <c r="DO4">
        <v>0.20412414523193159</v>
      </c>
      <c r="DP4">
        <v>1</v>
      </c>
      <c r="DQ4">
        <v>2</v>
      </c>
      <c r="DR4">
        <v>1</v>
      </c>
      <c r="DS4">
        <v>0</v>
      </c>
      <c r="DT4">
        <v>1</v>
      </c>
      <c r="DU4">
        <v>0</v>
      </c>
      <c r="DV4">
        <v>0</v>
      </c>
      <c r="DW4">
        <v>1</v>
      </c>
      <c r="DX4">
        <v>0</v>
      </c>
      <c r="DY4">
        <v>1</v>
      </c>
      <c r="DZ4">
        <v>187</v>
      </c>
    </row>
    <row r="5" spans="1:130" x14ac:dyDescent="0.25">
      <c r="A5" s="1" t="s">
        <v>112</v>
      </c>
      <c r="B5">
        <v>555.91304347826087</v>
      </c>
      <c r="C5">
        <v>135.74002995146753</v>
      </c>
      <c r="D5">
        <v>405</v>
      </c>
      <c r="E5">
        <v>892</v>
      </c>
      <c r="F5">
        <v>612.04347826086962</v>
      </c>
      <c r="G5">
        <v>143.69174021332469</v>
      </c>
      <c r="H5">
        <v>471</v>
      </c>
      <c r="I5">
        <v>1014</v>
      </c>
      <c r="J5">
        <v>525.38297872340422</v>
      </c>
      <c r="K5">
        <v>156.36906638261004</v>
      </c>
      <c r="L5">
        <v>348</v>
      </c>
      <c r="M5">
        <v>1233</v>
      </c>
      <c r="N5">
        <v>30.530064754856653</v>
      </c>
      <c r="O5">
        <v>86.660499537465398</v>
      </c>
      <c r="P5">
        <v>597.58333333333337</v>
      </c>
      <c r="Q5">
        <v>78.796886203468205</v>
      </c>
      <c r="R5">
        <v>465</v>
      </c>
      <c r="S5">
        <v>779</v>
      </c>
      <c r="T5">
        <v>554.16666666666663</v>
      </c>
      <c r="U5">
        <v>71.896463398941677</v>
      </c>
      <c r="V5">
        <v>464</v>
      </c>
      <c r="W5">
        <v>799</v>
      </c>
      <c r="X5">
        <v>529.5</v>
      </c>
      <c r="Y5">
        <v>111.86009498951728</v>
      </c>
      <c r="Z5">
        <v>392</v>
      </c>
      <c r="AA5">
        <v>1109</v>
      </c>
      <c r="AB5">
        <v>68.083333333333371</v>
      </c>
      <c r="AC5">
        <v>24.666666666666629</v>
      </c>
      <c r="AD5">
        <v>48.083333333333336</v>
      </c>
      <c r="AE5">
        <v>7.150048140103471</v>
      </c>
      <c r="AF5">
        <v>37</v>
      </c>
      <c r="AG5">
        <v>65</v>
      </c>
      <c r="AH5">
        <v>47.958333333333336</v>
      </c>
      <c r="AI5">
        <v>7.2799854674166138</v>
      </c>
      <c r="AJ5">
        <v>35</v>
      </c>
      <c r="AK5">
        <v>64</v>
      </c>
      <c r="AL5">
        <v>47.041666666666664</v>
      </c>
      <c r="AM5">
        <v>7.2726779092457559</v>
      </c>
      <c r="AN5">
        <v>30</v>
      </c>
      <c r="AO5">
        <v>60</v>
      </c>
      <c r="AP5">
        <v>1.0416666666666714</v>
      </c>
      <c r="AQ5">
        <v>0.9166666666666714</v>
      </c>
      <c r="AR5">
        <v>46.458333333333336</v>
      </c>
      <c r="AS5">
        <v>6.3859844269657637</v>
      </c>
      <c r="AT5">
        <v>35</v>
      </c>
      <c r="AU5">
        <v>67</v>
      </c>
      <c r="AV5">
        <v>50.166666666666664</v>
      </c>
      <c r="AW5">
        <v>5.2640426411206276</v>
      </c>
      <c r="AX5">
        <v>38</v>
      </c>
      <c r="AY5">
        <v>57</v>
      </c>
      <c r="AZ5">
        <v>46.5625</v>
      </c>
      <c r="BA5">
        <v>6.1985113175012829</v>
      </c>
      <c r="BB5">
        <v>24</v>
      </c>
      <c r="BC5">
        <v>61</v>
      </c>
      <c r="BD5">
        <v>-0.1041666666666643</v>
      </c>
      <c r="BE5">
        <v>3.6041666666666643</v>
      </c>
      <c r="BF5">
        <v>1.125</v>
      </c>
      <c r="BG5">
        <v>0.33783196234608809</v>
      </c>
      <c r="BH5">
        <v>1</v>
      </c>
      <c r="BI5">
        <v>2</v>
      </c>
      <c r="BJ5">
        <v>1.0833333333333333</v>
      </c>
      <c r="BK5">
        <v>0.28232985128663995</v>
      </c>
      <c r="BL5">
        <v>1</v>
      </c>
      <c r="BM5">
        <v>2</v>
      </c>
      <c r="BN5">
        <v>1</v>
      </c>
      <c r="BO5">
        <v>0</v>
      </c>
      <c r="BP5">
        <v>1</v>
      </c>
      <c r="BQ5">
        <v>1</v>
      </c>
      <c r="BR5">
        <v>0.125</v>
      </c>
      <c r="BS5">
        <v>8.3333333333333259E-2</v>
      </c>
      <c r="BT5">
        <v>1.0833333333333333</v>
      </c>
      <c r="BU5">
        <v>0.28232985128663995</v>
      </c>
      <c r="BV5">
        <v>1</v>
      </c>
      <c r="BW5">
        <v>2</v>
      </c>
      <c r="BX5">
        <v>1.0416666666666667</v>
      </c>
      <c r="BY5">
        <v>0.20412414523193159</v>
      </c>
      <c r="BZ5">
        <v>1</v>
      </c>
      <c r="CA5">
        <v>2</v>
      </c>
      <c r="CB5">
        <v>1.0208333333333333</v>
      </c>
      <c r="CC5">
        <v>0.14433756729740646</v>
      </c>
      <c r="CD5">
        <v>1</v>
      </c>
      <c r="CE5">
        <v>2</v>
      </c>
      <c r="CF5">
        <v>6.25E-2</v>
      </c>
      <c r="CG5">
        <v>2.0833333333333481E-2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189</v>
      </c>
      <c r="CQ5">
        <v>0</v>
      </c>
      <c r="CR5">
        <v>1</v>
      </c>
      <c r="CS5">
        <v>1</v>
      </c>
      <c r="CT5">
        <v>1</v>
      </c>
      <c r="CU5">
        <v>0</v>
      </c>
      <c r="CV5">
        <v>1</v>
      </c>
      <c r="CW5">
        <v>1</v>
      </c>
      <c r="CX5">
        <v>1.0833333333333333</v>
      </c>
      <c r="CY5">
        <v>0.28232985128663995</v>
      </c>
      <c r="CZ5">
        <v>1</v>
      </c>
      <c r="DA5">
        <v>2</v>
      </c>
      <c r="DB5">
        <v>1.0416666666666667</v>
      </c>
      <c r="DC5">
        <v>0.20412414523193159</v>
      </c>
      <c r="DD5">
        <v>1</v>
      </c>
      <c r="DE5">
        <v>2</v>
      </c>
      <c r="DF5">
        <v>1.0208333333333333</v>
      </c>
      <c r="DG5">
        <v>0.14433756729740646</v>
      </c>
      <c r="DH5">
        <v>1</v>
      </c>
      <c r="DI5">
        <v>2</v>
      </c>
      <c r="DJ5">
        <v>1</v>
      </c>
      <c r="DK5">
        <v>0</v>
      </c>
      <c r="DL5">
        <v>1</v>
      </c>
      <c r="DM5">
        <v>1</v>
      </c>
      <c r="DN5">
        <v>1.0416666666666667</v>
      </c>
      <c r="DO5">
        <v>0.20412414523193159</v>
      </c>
      <c r="DP5">
        <v>1</v>
      </c>
      <c r="DQ5">
        <v>2</v>
      </c>
      <c r="DR5">
        <v>1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189</v>
      </c>
    </row>
    <row r="6" spans="1:130" x14ac:dyDescent="0.25">
      <c r="A6" s="1" t="s">
        <v>113</v>
      </c>
      <c r="B6">
        <v>888.86363636363637</v>
      </c>
      <c r="C6">
        <v>299.75089585704251</v>
      </c>
      <c r="D6">
        <v>578</v>
      </c>
      <c r="E6">
        <v>1913</v>
      </c>
      <c r="F6">
        <v>918.43478260869563</v>
      </c>
      <c r="G6">
        <v>332.52803382667213</v>
      </c>
      <c r="H6">
        <v>581</v>
      </c>
      <c r="I6">
        <v>2007</v>
      </c>
      <c r="J6">
        <v>696.45652173913038</v>
      </c>
      <c r="K6">
        <v>180.86873159181729</v>
      </c>
      <c r="L6">
        <v>451</v>
      </c>
      <c r="M6">
        <v>1218</v>
      </c>
      <c r="N6">
        <v>192.40711462450599</v>
      </c>
      <c r="O6">
        <v>221.97826086956525</v>
      </c>
      <c r="P6">
        <v>1017.9583333333334</v>
      </c>
      <c r="Q6">
        <v>326.24630321632588</v>
      </c>
      <c r="R6">
        <v>648</v>
      </c>
      <c r="S6">
        <v>2024</v>
      </c>
      <c r="T6">
        <v>879.76190476190482</v>
      </c>
      <c r="U6">
        <v>215.93492185422551</v>
      </c>
      <c r="V6">
        <v>680</v>
      </c>
      <c r="W6">
        <v>1692</v>
      </c>
      <c r="X6">
        <v>801.91304347826087</v>
      </c>
      <c r="Y6">
        <v>236.81880800748692</v>
      </c>
      <c r="Z6">
        <v>560</v>
      </c>
      <c r="AA6">
        <v>1726</v>
      </c>
      <c r="AB6">
        <v>216.0452898550725</v>
      </c>
      <c r="AC6">
        <v>77.848861283643942</v>
      </c>
      <c r="AD6">
        <v>66.875</v>
      </c>
      <c r="AE6">
        <v>9.3590806869236811</v>
      </c>
      <c r="AF6">
        <v>49</v>
      </c>
      <c r="AG6">
        <v>87</v>
      </c>
      <c r="AH6">
        <v>74.695652173913047</v>
      </c>
      <c r="AI6">
        <v>9.378092375360275</v>
      </c>
      <c r="AJ6">
        <v>61</v>
      </c>
      <c r="AK6">
        <v>100</v>
      </c>
      <c r="AL6">
        <v>65.212765957446805</v>
      </c>
      <c r="AM6">
        <v>15.131217615611439</v>
      </c>
      <c r="AN6">
        <v>32</v>
      </c>
      <c r="AO6">
        <v>104</v>
      </c>
      <c r="AP6">
        <v>1.6622340425531945</v>
      </c>
      <c r="AQ6">
        <v>9.4828862164662411</v>
      </c>
      <c r="AR6">
        <v>70.083333333333329</v>
      </c>
      <c r="AS6">
        <v>8.6472748492713354</v>
      </c>
      <c r="AT6">
        <v>53</v>
      </c>
      <c r="AU6">
        <v>87</v>
      </c>
      <c r="AV6">
        <v>79</v>
      </c>
      <c r="AW6">
        <v>9.8112623838738191</v>
      </c>
      <c r="AX6">
        <v>59</v>
      </c>
      <c r="AY6">
        <v>97</v>
      </c>
      <c r="AZ6">
        <v>68.042553191489361</v>
      </c>
      <c r="BA6">
        <v>17.002502944654314</v>
      </c>
      <c r="BB6">
        <v>26</v>
      </c>
      <c r="BC6">
        <v>111</v>
      </c>
      <c r="BD6">
        <v>2.0407801418439675</v>
      </c>
      <c r="BE6">
        <v>10.957446808510639</v>
      </c>
      <c r="BF6">
        <v>1.0833333333333333</v>
      </c>
      <c r="BG6">
        <v>0.28232985128663995</v>
      </c>
      <c r="BH6">
        <v>1</v>
      </c>
      <c r="BI6">
        <v>2</v>
      </c>
      <c r="BJ6">
        <v>1.0434782608695652</v>
      </c>
      <c r="BK6">
        <v>0.2085144140570748</v>
      </c>
      <c r="BL6">
        <v>1</v>
      </c>
      <c r="BM6">
        <v>2</v>
      </c>
      <c r="BN6">
        <v>1.0425531914893618</v>
      </c>
      <c r="BO6">
        <v>0.20402970888857883</v>
      </c>
      <c r="BP6">
        <v>1</v>
      </c>
      <c r="BQ6">
        <v>2</v>
      </c>
      <c r="BR6">
        <v>4.0780141843971496E-2</v>
      </c>
      <c r="BS6">
        <v>9.2506938020342488E-4</v>
      </c>
      <c r="BT6">
        <v>1</v>
      </c>
      <c r="BU6">
        <v>0</v>
      </c>
      <c r="BV6">
        <v>1</v>
      </c>
      <c r="BW6">
        <v>1</v>
      </c>
      <c r="BX6">
        <v>1.0416666666666667</v>
      </c>
      <c r="BY6">
        <v>0.20412414523193159</v>
      </c>
      <c r="BZ6">
        <v>1</v>
      </c>
      <c r="CA6">
        <v>2</v>
      </c>
      <c r="CB6">
        <v>1.0425531914893618</v>
      </c>
      <c r="CC6">
        <v>0.29172998299578917</v>
      </c>
      <c r="CD6">
        <v>1</v>
      </c>
      <c r="CE6">
        <v>3</v>
      </c>
      <c r="CF6">
        <v>-4.2553191489361764E-2</v>
      </c>
      <c r="CG6">
        <v>-8.8652482269502286E-4</v>
      </c>
      <c r="CH6">
        <v>2</v>
      </c>
      <c r="CI6">
        <v>1</v>
      </c>
      <c r="CJ6">
        <v>0</v>
      </c>
      <c r="CK6">
        <v>1</v>
      </c>
      <c r="CL6">
        <v>1</v>
      </c>
      <c r="CM6">
        <v>0</v>
      </c>
      <c r="CN6">
        <v>1</v>
      </c>
      <c r="CO6">
        <v>0</v>
      </c>
      <c r="CP6">
        <v>183</v>
      </c>
      <c r="CQ6">
        <v>0.2085144140570748</v>
      </c>
      <c r="CR6">
        <v>1</v>
      </c>
      <c r="CS6">
        <v>2</v>
      </c>
      <c r="CT6">
        <v>1.0416666666666667</v>
      </c>
      <c r="CU6">
        <v>0.20412414523193151</v>
      </c>
      <c r="CV6">
        <v>1</v>
      </c>
      <c r="CW6">
        <v>2</v>
      </c>
      <c r="CX6">
        <v>1</v>
      </c>
      <c r="CY6">
        <v>0</v>
      </c>
      <c r="CZ6">
        <v>1</v>
      </c>
      <c r="DA6">
        <v>1</v>
      </c>
      <c r="DB6">
        <v>1.0416666666666667</v>
      </c>
      <c r="DC6">
        <v>0.20412414523193159</v>
      </c>
      <c r="DD6">
        <v>1</v>
      </c>
      <c r="DE6">
        <v>2</v>
      </c>
      <c r="DF6">
        <v>1.0425531914893618</v>
      </c>
      <c r="DG6">
        <v>0.29172998299578917</v>
      </c>
      <c r="DH6">
        <v>1</v>
      </c>
      <c r="DI6">
        <v>3</v>
      </c>
      <c r="DJ6">
        <v>1.0833333333333333</v>
      </c>
      <c r="DK6">
        <v>0.40824829046386318</v>
      </c>
      <c r="DL6">
        <v>1</v>
      </c>
      <c r="DM6">
        <v>3</v>
      </c>
      <c r="DN6">
        <v>1</v>
      </c>
      <c r="DO6">
        <v>0</v>
      </c>
      <c r="DP6">
        <v>1</v>
      </c>
      <c r="DQ6">
        <v>1</v>
      </c>
      <c r="DR6">
        <v>2</v>
      </c>
      <c r="DS6">
        <v>1</v>
      </c>
      <c r="DT6">
        <v>0</v>
      </c>
      <c r="DU6">
        <v>1</v>
      </c>
      <c r="DV6">
        <v>1</v>
      </c>
      <c r="DW6">
        <v>0</v>
      </c>
      <c r="DX6">
        <v>1</v>
      </c>
      <c r="DY6">
        <v>0</v>
      </c>
      <c r="DZ6">
        <v>183</v>
      </c>
    </row>
    <row r="7" spans="1:130" x14ac:dyDescent="0.25">
      <c r="B7" s="2">
        <f>AVERAGE(B2:B6)</f>
        <v>690.66837944664042</v>
      </c>
      <c r="C7" s="2">
        <f t="shared" ref="C7:BN7" si="0">AVERAGE(C2:C6)</f>
        <v>182.21379276207571</v>
      </c>
      <c r="D7" s="2">
        <f t="shared" si="0"/>
        <v>504.4</v>
      </c>
      <c r="E7" s="2">
        <f t="shared" si="0"/>
        <v>1297.4000000000001</v>
      </c>
      <c r="F7" s="2">
        <f t="shared" si="0"/>
        <v>724.15253623188403</v>
      </c>
      <c r="G7" s="2">
        <f t="shared" si="0"/>
        <v>183.51106478786377</v>
      </c>
      <c r="H7" s="2">
        <f t="shared" si="0"/>
        <v>521</v>
      </c>
      <c r="I7" s="2">
        <f t="shared" si="0"/>
        <v>1329.8</v>
      </c>
      <c r="J7" s="2">
        <f t="shared" si="0"/>
        <v>580.83425448252285</v>
      </c>
      <c r="K7" s="2">
        <f t="shared" si="0"/>
        <v>162.91087920178924</v>
      </c>
      <c r="L7" s="2">
        <f t="shared" si="0"/>
        <v>393.2</v>
      </c>
      <c r="M7" s="2">
        <f t="shared" si="0"/>
        <v>1169.5999999999999</v>
      </c>
      <c r="N7" s="2">
        <f t="shared" si="0"/>
        <v>109.83412496411745</v>
      </c>
      <c r="O7" s="2">
        <f t="shared" si="0"/>
        <v>143.3182817493612</v>
      </c>
      <c r="P7" s="2">
        <f t="shared" si="0"/>
        <v>734.02065217391316</v>
      </c>
      <c r="Q7" s="2">
        <f t="shared" si="0"/>
        <v>165.62066726720087</v>
      </c>
      <c r="R7" s="2">
        <f t="shared" si="0"/>
        <v>535</v>
      </c>
      <c r="S7" s="2">
        <f t="shared" si="0"/>
        <v>1240.4000000000001</v>
      </c>
      <c r="T7" s="2">
        <f t="shared" si="0"/>
        <v>761.6181253529079</v>
      </c>
      <c r="U7" s="2">
        <f t="shared" si="0"/>
        <v>189.9757273041028</v>
      </c>
      <c r="V7" s="2">
        <f t="shared" si="0"/>
        <v>545.6</v>
      </c>
      <c r="W7" s="2">
        <f t="shared" si="0"/>
        <v>1288.4000000000001</v>
      </c>
      <c r="X7" s="2">
        <f t="shared" si="0"/>
        <v>616.88122109158189</v>
      </c>
      <c r="Y7" s="2">
        <f t="shared" si="0"/>
        <v>143.10694352375015</v>
      </c>
      <c r="Z7" s="2">
        <f t="shared" si="0"/>
        <v>446.8</v>
      </c>
      <c r="AA7" s="2">
        <f t="shared" si="0"/>
        <v>1165.4000000000001</v>
      </c>
      <c r="AB7" s="2">
        <f t="shared" si="0"/>
        <v>117.1394310823312</v>
      </c>
      <c r="AC7" s="2">
        <f t="shared" si="0"/>
        <v>144.73690426132612</v>
      </c>
      <c r="AD7" s="2">
        <f t="shared" si="0"/>
        <v>54.933333333333323</v>
      </c>
      <c r="AE7" s="2">
        <f t="shared" si="0"/>
        <v>8.3584885519655874</v>
      </c>
      <c r="AF7" s="2">
        <f t="shared" si="0"/>
        <v>38</v>
      </c>
      <c r="AG7" s="2">
        <f t="shared" si="0"/>
        <v>75</v>
      </c>
      <c r="AH7" s="2">
        <f t="shared" si="0"/>
        <v>56.647463768115941</v>
      </c>
      <c r="AI7" s="2">
        <f t="shared" si="0"/>
        <v>8.2576943776127578</v>
      </c>
      <c r="AJ7" s="2">
        <f t="shared" si="0"/>
        <v>39.799999999999997</v>
      </c>
      <c r="AK7" s="2">
        <f t="shared" si="0"/>
        <v>75.8</v>
      </c>
      <c r="AL7" s="2">
        <f t="shared" si="0"/>
        <v>52.509516300843778</v>
      </c>
      <c r="AM7" s="2">
        <f t="shared" si="0"/>
        <v>9.8714962402774553</v>
      </c>
      <c r="AN7" s="2">
        <f t="shared" si="0"/>
        <v>30.2</v>
      </c>
      <c r="AO7" s="2">
        <f t="shared" si="0"/>
        <v>75.8</v>
      </c>
      <c r="AP7" s="2">
        <f t="shared" si="0"/>
        <v>2.4238170324895592</v>
      </c>
      <c r="AQ7" s="2">
        <f t="shared" si="0"/>
        <v>4.1379474672721681</v>
      </c>
      <c r="AR7" s="2">
        <f t="shared" si="0"/>
        <v>56.516666666666673</v>
      </c>
      <c r="AS7" s="2">
        <f t="shared" si="0"/>
        <v>8.0560521449569684</v>
      </c>
      <c r="AT7" s="2">
        <f t="shared" si="0"/>
        <v>42</v>
      </c>
      <c r="AU7" s="2">
        <f t="shared" si="0"/>
        <v>75.599999999999994</v>
      </c>
      <c r="AV7" s="2">
        <f t="shared" si="0"/>
        <v>59.364393939393935</v>
      </c>
      <c r="AW7" s="2">
        <f t="shared" si="0"/>
        <v>7.4309102163047225</v>
      </c>
      <c r="AX7" s="2">
        <f t="shared" si="0"/>
        <v>43.8</v>
      </c>
      <c r="AY7" s="2">
        <f t="shared" si="0"/>
        <v>74.2</v>
      </c>
      <c r="AZ7" s="2">
        <f t="shared" si="0"/>
        <v>53.259054116558744</v>
      </c>
      <c r="BA7" s="2">
        <f t="shared" si="0"/>
        <v>9.3690464721181286</v>
      </c>
      <c r="BB7" s="2">
        <f t="shared" si="0"/>
        <v>29.4</v>
      </c>
      <c r="BC7" s="2">
        <f t="shared" si="0"/>
        <v>75.599999999999994</v>
      </c>
      <c r="BD7" s="2">
        <f t="shared" si="0"/>
        <v>3.2576125501079263</v>
      </c>
      <c r="BE7" s="2">
        <f t="shared" si="0"/>
        <v>6.1053398228351998</v>
      </c>
      <c r="BF7" s="2">
        <f t="shared" si="0"/>
        <v>1.0916666666666666</v>
      </c>
      <c r="BG7" s="2">
        <f t="shared" si="0"/>
        <v>0.2964582578009477</v>
      </c>
      <c r="BH7" s="2">
        <f t="shared" si="0"/>
        <v>1</v>
      </c>
      <c r="BI7" s="2">
        <f t="shared" si="0"/>
        <v>2.2000000000000002</v>
      </c>
      <c r="BJ7" s="2">
        <f t="shared" si="0"/>
        <v>1.1586956521739131</v>
      </c>
      <c r="BK7" s="2">
        <f t="shared" si="0"/>
        <v>0.39887698663860316</v>
      </c>
      <c r="BL7" s="2">
        <f t="shared" si="0"/>
        <v>1</v>
      </c>
      <c r="BM7" s="2">
        <f t="shared" si="0"/>
        <v>2.6</v>
      </c>
      <c r="BN7" s="2">
        <f t="shared" si="0"/>
        <v>1.1102892944243545</v>
      </c>
      <c r="BO7" s="2">
        <f t="shared" ref="BO7:DZ7" si="1">AVERAGE(BO2:BO6)</f>
        <v>0.21545546002151653</v>
      </c>
      <c r="BP7" s="2">
        <f t="shared" si="1"/>
        <v>1</v>
      </c>
      <c r="BQ7" s="2">
        <f t="shared" si="1"/>
        <v>1.6</v>
      </c>
      <c r="BR7" s="2">
        <f t="shared" si="1"/>
        <v>-1.8622627757687926E-2</v>
      </c>
      <c r="BS7" s="2">
        <f t="shared" si="1"/>
        <v>4.8406357749558461E-2</v>
      </c>
      <c r="BT7" s="2">
        <f t="shared" si="1"/>
        <v>1.0583333333333331</v>
      </c>
      <c r="BU7" s="2">
        <f t="shared" si="1"/>
        <v>0.21022273981837031</v>
      </c>
      <c r="BV7" s="2">
        <f t="shared" si="1"/>
        <v>1</v>
      </c>
      <c r="BW7" s="2">
        <f t="shared" si="1"/>
        <v>1.8</v>
      </c>
      <c r="BX7" s="2">
        <f t="shared" si="1"/>
        <v>1.1689393939393942</v>
      </c>
      <c r="BY7" s="2">
        <f t="shared" si="1"/>
        <v>0.38509109392814783</v>
      </c>
      <c r="BZ7" s="2">
        <f t="shared" si="1"/>
        <v>1</v>
      </c>
      <c r="CA7" s="2">
        <f t="shared" si="1"/>
        <v>2.6</v>
      </c>
      <c r="CB7" s="2">
        <f t="shared" si="1"/>
        <v>1.0820613629355536</v>
      </c>
      <c r="CC7" s="2">
        <f t="shared" si="1"/>
        <v>0.30655625106452272</v>
      </c>
      <c r="CD7" s="2">
        <f t="shared" si="1"/>
        <v>1</v>
      </c>
      <c r="CE7" s="2">
        <f t="shared" si="1"/>
        <v>2.6</v>
      </c>
      <c r="CF7" s="2">
        <f t="shared" si="1"/>
        <v>-2.3728029602220202E-2</v>
      </c>
      <c r="CG7" s="2">
        <f t="shared" si="1"/>
        <v>8.6878031003840478E-2</v>
      </c>
      <c r="CH7" s="2">
        <f t="shared" si="1"/>
        <v>1</v>
      </c>
      <c r="CI7" s="2">
        <f t="shared" si="1"/>
        <v>0.2</v>
      </c>
      <c r="CJ7" s="2">
        <f t="shared" si="1"/>
        <v>0.8</v>
      </c>
      <c r="CK7" s="2">
        <f t="shared" si="1"/>
        <v>0.2</v>
      </c>
      <c r="CL7" s="2">
        <f t="shared" si="1"/>
        <v>0.2</v>
      </c>
      <c r="CM7" s="2">
        <f t="shared" si="1"/>
        <v>0.2</v>
      </c>
      <c r="CN7" s="2">
        <f t="shared" si="1"/>
        <v>0.2</v>
      </c>
      <c r="CO7" s="2">
        <f t="shared" si="1"/>
        <v>0.2</v>
      </c>
      <c r="CP7" s="2">
        <f t="shared" si="1"/>
        <v>186.6</v>
      </c>
      <c r="CQ7" s="2">
        <f t="shared" si="1"/>
        <v>0.224080444497646</v>
      </c>
      <c r="CR7" s="2">
        <f t="shared" si="1"/>
        <v>1</v>
      </c>
      <c r="CS7" s="2">
        <f t="shared" si="1"/>
        <v>1.6</v>
      </c>
      <c r="CT7" s="2">
        <f t="shared" si="1"/>
        <v>1.1039855072463767</v>
      </c>
      <c r="CU7" s="2">
        <f t="shared" si="1"/>
        <v>0.20709182407293927</v>
      </c>
      <c r="CV7" s="2">
        <f t="shared" si="1"/>
        <v>1</v>
      </c>
      <c r="CW7" s="2">
        <f t="shared" si="1"/>
        <v>1.6</v>
      </c>
      <c r="CX7" s="2">
        <f t="shared" si="1"/>
        <v>1.0583333333333331</v>
      </c>
      <c r="CY7" s="2">
        <f t="shared" si="1"/>
        <v>0.21022273981837031</v>
      </c>
      <c r="CZ7" s="2">
        <f t="shared" si="1"/>
        <v>1</v>
      </c>
      <c r="DA7" s="2">
        <f t="shared" si="1"/>
        <v>1.8</v>
      </c>
      <c r="DB7" s="2">
        <f t="shared" si="1"/>
        <v>1.1689393939393942</v>
      </c>
      <c r="DC7" s="2">
        <f t="shared" si="1"/>
        <v>0.38509109392814783</v>
      </c>
      <c r="DD7" s="2">
        <f t="shared" si="1"/>
        <v>1</v>
      </c>
      <c r="DE7" s="2">
        <f t="shared" si="1"/>
        <v>2.6</v>
      </c>
      <c r="DF7" s="2">
        <f t="shared" si="1"/>
        <v>1.0820613629355536</v>
      </c>
      <c r="DG7" s="2">
        <f t="shared" si="1"/>
        <v>0.30655625106452272</v>
      </c>
      <c r="DH7" s="2">
        <f t="shared" si="1"/>
        <v>1</v>
      </c>
      <c r="DI7" s="2">
        <f t="shared" si="1"/>
        <v>2.6</v>
      </c>
      <c r="DJ7" s="2">
        <f t="shared" si="1"/>
        <v>1.0874176548089591</v>
      </c>
      <c r="DK7" s="2">
        <f t="shared" si="1"/>
        <v>0.27884913581440413</v>
      </c>
      <c r="DL7" s="2">
        <f t="shared" si="1"/>
        <v>1</v>
      </c>
      <c r="DM7" s="2">
        <f t="shared" si="1"/>
        <v>2.2000000000000002</v>
      </c>
      <c r="DN7" s="2">
        <f t="shared" si="1"/>
        <v>1.0760869565217392</v>
      </c>
      <c r="DO7" s="2">
        <f t="shared" si="1"/>
        <v>0.26345164292244683</v>
      </c>
      <c r="DP7" s="2">
        <f t="shared" si="1"/>
        <v>1</v>
      </c>
      <c r="DQ7" s="2">
        <f t="shared" si="1"/>
        <v>2</v>
      </c>
      <c r="DR7" s="2">
        <f t="shared" si="1"/>
        <v>1</v>
      </c>
      <c r="DS7" s="2">
        <f t="shared" si="1"/>
        <v>0.2</v>
      </c>
      <c r="DT7" s="2">
        <f t="shared" si="1"/>
        <v>0.8</v>
      </c>
      <c r="DU7" s="2">
        <f t="shared" si="1"/>
        <v>0.2</v>
      </c>
      <c r="DV7" s="2">
        <f t="shared" si="1"/>
        <v>0.2</v>
      </c>
      <c r="DW7" s="2">
        <f t="shared" si="1"/>
        <v>0.2</v>
      </c>
      <c r="DX7" s="2">
        <f t="shared" si="1"/>
        <v>0.2</v>
      </c>
      <c r="DY7" s="2">
        <f t="shared" si="1"/>
        <v>0.2</v>
      </c>
      <c r="DZ7" s="2">
        <f t="shared" si="1"/>
        <v>186.6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Kayne Park</cp:lastModifiedBy>
  <cp:revision/>
  <dcterms:created xsi:type="dcterms:W3CDTF">2024-12-11T18:50:20Z</dcterms:created>
  <dcterms:modified xsi:type="dcterms:W3CDTF">2024-12-11T19:08:04Z</dcterms:modified>
  <cp:category/>
  <cp:contentStatus/>
</cp:coreProperties>
</file>